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F:\Descargas\"/>
    </mc:Choice>
  </mc:AlternateContent>
  <xr:revisionPtr revIDLastSave="0" documentId="13_ncr:1_{55D00FBF-1545-42B6-B918-22A04029B28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triz de riesgos" sheetId="1" r:id="rId1"/>
  </sheets>
  <definedNames>
    <definedName name="_xlnm._FilterDatabase" localSheetId="0" hidden="1">'Matriz de riesgos'!$A$4:$L$14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1" l="1"/>
  <c r="H14" i="1" s="1"/>
  <c r="H13" i="1"/>
  <c r="G13" i="1"/>
  <c r="G12" i="1"/>
  <c r="H12" i="1" s="1"/>
  <c r="H11" i="1"/>
  <c r="G11" i="1"/>
  <c r="G10" i="1"/>
  <c r="H10" i="1" s="1"/>
  <c r="H9" i="1"/>
  <c r="G9" i="1"/>
  <c r="G8" i="1"/>
  <c r="H8" i="1" s="1"/>
  <c r="H7" i="1"/>
  <c r="G7" i="1"/>
  <c r="G6" i="1"/>
  <c r="H6" i="1" s="1"/>
  <c r="H5" i="1"/>
  <c r="G5" i="1"/>
</calcChain>
</file>

<file path=xl/sharedStrings.xml><?xml version="1.0" encoding="utf-8"?>
<sst xmlns="http://schemas.openxmlformats.org/spreadsheetml/2006/main" count="97" uniqueCount="80">
  <si>
    <t>MATRIZ DE RIESGOS | PROYECTO DISCOVER</t>
  </si>
  <si>
    <t>ID</t>
  </si>
  <si>
    <t>Categoría</t>
  </si>
  <si>
    <t>Riesgo / causa</t>
  </si>
  <si>
    <t>Consecuencia potencial</t>
  </si>
  <si>
    <t>Prob. (1–5)</t>
  </si>
  <si>
    <t>Impacto (1–5)</t>
  </si>
  <si>
    <t>P×I</t>
  </si>
  <si>
    <t>Nivel</t>
  </si>
  <si>
    <t>Mitigación / respuesta</t>
  </si>
  <si>
    <t>Responsable</t>
  </si>
  <si>
    <t>Indicador de alerta</t>
  </si>
  <si>
    <t>Estado</t>
  </si>
  <si>
    <t>R-01</t>
  </si>
  <si>
    <t>Requerimientos</t>
  </si>
  <si>
    <t>Ambigüedad o cambios en las necesidades del usuario.</t>
  </si>
  <si>
    <t>Retrabajo, funcionalidades no alineadas y retrasos.</t>
  </si>
  <si>
    <t>Reuniones periódicas; aclarar requisitos; priorizar backlog en Trello/Jira; criterios de aceptación por funcionalidad.</t>
  </si>
  <si>
    <t>Jordán Órdenes y Lino Barrera</t>
  </si>
  <si>
    <t>Requisitos sin criterio de aceptación o cambios frecuentes.</t>
  </si>
  <si>
    <t>Abierto</t>
  </si>
  <si>
    <t>R-02</t>
  </si>
  <si>
    <t>Técnico / integración</t>
  </si>
  <si>
    <t>Dificultades de compatibilidad entre Django, DRF, MySQL y servicios de IA.</t>
  </si>
  <si>
    <t>Fallos de integración, retrasos y defectos funcionales.</t>
  </si>
  <si>
    <t>Arquitectura modular; componentes desacoplados; documentación técnica continua; pruebas progresivas de integración.</t>
  </si>
  <si>
    <t>Errores repetidos de comunicación entre componentes.</t>
  </si>
  <si>
    <t>R-03</t>
  </si>
  <si>
    <t>Cronograma / recursos</t>
  </si>
  <si>
    <t>Disponibilidad limitada de 3 h 30 min semanales y posibles inconvenientes técnicos.</t>
  </si>
  <si>
    <t>Incumplimiento de hitos y acumulación de tareas al cierre.</t>
  </si>
  <si>
    <t>Planificar por etapas; priorizar funcionalidades principales; seguimiento semanal; pruebas progresivas y control del backlog.</t>
  </si>
  <si>
    <t>Hitos semanales atrasados o tareas críticas sin avance.</t>
  </si>
  <si>
    <t>R-04</t>
  </si>
  <si>
    <t>Usabilidad / accesibilidad</t>
  </si>
  <si>
    <t>La interfaz no cumple expectativas de usabilidad, adaptabilidad o accesibilidad básica.</t>
  </si>
  <si>
    <t>Dificultad para completar flujos y menor satisfacción de usuarios.</t>
  </si>
  <si>
    <t>Prototipos wireframe/mockup; diseño adaptable; pruebas de usabilidad con usuarios reales y mejoras iterativas.</t>
  </si>
  <si>
    <t>Tasa de éxito de tareas &lt; 90% o satisfacción &lt; 4,0/5.</t>
  </si>
  <si>
    <t>R-05</t>
  </si>
  <si>
    <t>Disponibilidad de usuarios</t>
  </si>
  <si>
    <t>Insuficiente disponibilidad de participantes para pruebas de usabilidad.</t>
  </si>
  <si>
    <t>Validación limitada de experiencia de usuario.</t>
  </si>
  <si>
    <t>Realizar pruebas internas previas y testeo entre pares; coordinar usuarios con anticipación.</t>
  </si>
  <si>
    <t>No hay participantes confirmados antes de la semana 12.</t>
  </si>
  <si>
    <t>R-06</t>
  </si>
  <si>
    <t>Tiempo de pruebas</t>
  </si>
  <si>
    <t>Tiempo insuficiente para ejecutar todos los casos de prueba.</t>
  </si>
  <si>
    <t>Defectos no detectados o validación incompleta.</t>
  </si>
  <si>
    <t>Priorizar casos críticos; automatización parcial de pruebas unitarias; registrar resultados y defectos por sprint.</t>
  </si>
  <si>
    <t>Casos críticos pendientes al cierre de un sprint.</t>
  </si>
  <si>
    <t>R-07</t>
  </si>
  <si>
    <t>Servicio externo de IA</t>
  </si>
  <si>
    <t>Servicio de IA no disponible durante desarrollo o pruebas.</t>
  </si>
  <si>
    <t>No se validan generación de textos y recomendaciones apoyadas por IA.</t>
  </si>
  <si>
    <t>Usar datos simulados (mocks) y pruebas con respaldo; controlar errores para no afectar el resto del sistema.</t>
  </si>
  <si>
    <t>Errores de conexión, límites o indisponibilidad del servicio.</t>
  </si>
  <si>
    <t>R-08</t>
  </si>
  <si>
    <t>Calidad / detección tardía</t>
  </si>
  <si>
    <t>Defectos críticos detectados en etapas finales.</t>
  </si>
  <si>
    <t>Retrabajo, demoras y posible incumplimiento de criterios de aceptación.</t>
  </si>
  <si>
    <t>Pruebas iterativas al final de cada sprint; pruebas unitarias, integración, funcionales y regresión; corregir defectos críticos/altos antes del cierre.</t>
  </si>
  <si>
    <t>Defectos críticos o altos abiertos después de semana 12.</t>
  </si>
  <si>
    <t>R-09</t>
  </si>
  <si>
    <t>Rendimiento</t>
  </si>
  <si>
    <t>Tiempo de carga inicial igual o superior a 3 segundos o tasa de fallos igual/superior a 0,5%.</t>
  </si>
  <si>
    <t>Experiencia deficiente y no cumplimiento de indicadores de éxito.</t>
  </si>
  <si>
    <t>Medir rendimiento en pruebas; optimizar consultas y vistas; repetir pruebas tras correcciones.</t>
  </si>
  <si>
    <t>Carga ≥ 3 s o fallos ≥ 0,5% por sesión.</t>
  </si>
  <si>
    <t>R-10</t>
  </si>
  <si>
    <t>Presupuesto / recursos</t>
  </si>
  <si>
    <t>Necesidad de una adquisición no planificada en un proyecto con presupuesto inicial de $0 CLP.</t>
  </si>
  <si>
    <t>Bloqueo de tareas o desviación del marco presupuestario.</t>
  </si>
  <si>
    <t>Priorizar herramientas gratuitas y recursos existentes; toda adquisición no planificada requiere aprobación previa del docente.</t>
  </si>
  <si>
    <t>Jordán Órdenes y Lino Barrera / Docente para aprobación</t>
  </si>
  <si>
    <t>Se identifica una dependencia pagada o compra no prevista.</t>
  </si>
  <si>
    <t>Escala de probabilidad e impacto</t>
  </si>
  <si>
    <t>1 = Muy baja | 2 = Baja | 3 = Media | 4 = Alta | 5 = Muy alta</t>
  </si>
  <si>
    <t>Nivel según P×I: 1–4 Bajo | 5–9 Medio | 10–14 Alto | 15–25 Crítico. Los valores son estimaciones iniciales, no datos medidos del proyecto.</t>
  </si>
  <si>
    <t>Probabilidad e impacto son estimaciones iniciales para priorización y deben revisarse durante el seguimiento.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</si>
</sst>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8"/>
      <color rgb="FFFFFFFF"/>
      <name val="Aptos Display"/>
    </font>
    <font>
      <i/>
      <sz val="10"/>
      <color rgb="FF666666"/>
      <name val="Aptos"/>
    </font>
    <font>
      <b/>
      <sz val="10"/>
      <color rgb="FFFFFFFF"/>
      <name val="Calibri"/>
    </font>
    <font>
      <sz val="10"/>
      <color rgb="FF243447"/>
      <name val="Aptos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AF0F6"/>
      </patternFill>
    </fill>
    <fill>
      <patternFill patternType="solid">
        <fgColor rgb="FF1F4E78"/>
      </patternFill>
    </fill>
    <fill>
      <patternFill patternType="solid">
        <fgColor rgb="FFF7F9FC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FFFFFF"/>
      </bottom>
      <diagonal/>
    </border>
    <border>
      <left/>
      <right/>
      <top/>
      <bottom style="thin">
        <color rgb="FFD6DEE8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top" wrapText="1"/>
    </xf>
    <xf numFmtId="1" fontId="4" fillId="0" borderId="2" xfId="0" applyNumberFormat="1" applyFont="1" applyBorder="1" applyAlignment="1">
      <alignment vertical="top" wrapText="1"/>
    </xf>
    <xf numFmtId="0" fontId="5" fillId="0" borderId="2" xfId="0" applyFont="1" applyBorder="1" applyAlignment="1">
      <alignment horizontal="center" vertical="center"/>
    </xf>
    <xf numFmtId="0" fontId="4" fillId="5" borderId="2" xfId="0" applyFont="1" applyFill="1" applyBorder="1" applyAlignment="1">
      <alignment vertical="top" wrapText="1"/>
    </xf>
    <xf numFmtId="1" fontId="4" fillId="5" borderId="2" xfId="0" applyNumberFormat="1" applyFont="1" applyFill="1" applyBorder="1" applyAlignment="1">
      <alignment vertical="top" wrapText="1"/>
    </xf>
    <xf numFmtId="0" fontId="5" fillId="5" borderId="2" xfId="0" applyFont="1" applyFill="1" applyBorder="1" applyAlignment="1">
      <alignment horizontal="center" vertical="center"/>
    </xf>
    <xf numFmtId="0" fontId="2" fillId="3" borderId="0" xfId="0" applyFont="1" applyFill="1" applyAlignment="1">
      <alignment vertical="center" wrapText="1"/>
    </xf>
    <xf numFmtId="0" fontId="0" fillId="0" borderId="0" xfId="0"/>
    <xf numFmtId="0" fontId="0" fillId="0" borderId="0" xfId="0" applyAlignment="1">
      <alignment wrapText="1"/>
    </xf>
    <xf numFmtId="0" fontId="5" fillId="2" borderId="0" xfId="0" applyFont="1" applyFill="1"/>
    <xf numFmtId="0" fontId="1" fillId="2" borderId="0" xfId="0" applyFont="1" applyFill="1" applyAlignment="1">
      <alignment vertical="center"/>
    </xf>
    <xf numFmtId="0" fontId="0" fillId="6" borderId="0" xfId="0" applyFill="1" applyAlignment="1">
      <alignment wrapText="1"/>
    </xf>
  </cellXfs>
  <cellStyles count="1">
    <cellStyle name="Normal" xfId="0" builtinId="0"/>
  </cellStyles>
  <dxfs count="4">
    <dxf>
      <fill>
        <patternFill patternType="solid">
          <fgColor rgb="FFE2F0D9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showGridLines="0" tabSelected="1" workbookViewId="0">
      <pane ySplit="4" topLeftCell="A5" activePane="bottomLeft" state="frozen"/>
      <selection pane="bottomLeft" activeCell="I5" sqref="I5"/>
    </sheetView>
  </sheetViews>
  <sheetFormatPr baseColWidth="10" defaultColWidth="9.140625" defaultRowHeight="15" x14ac:dyDescent="0.25"/>
  <cols>
    <col min="1" max="1" width="9" customWidth="1"/>
    <col min="2" max="2" width="20" customWidth="1"/>
    <col min="3" max="3" width="37" customWidth="1"/>
    <col min="4" max="4" width="35" customWidth="1"/>
    <col min="5" max="6" width="12" customWidth="1"/>
    <col min="7" max="7" width="9" customWidth="1"/>
    <col min="8" max="8" width="12" customWidth="1"/>
    <col min="9" max="9" width="48" customWidth="1"/>
    <col min="10" max="10" width="29" customWidth="1"/>
    <col min="11" max="11" width="36" customWidth="1"/>
    <col min="12" max="12" width="13" customWidth="1"/>
  </cols>
  <sheetData>
    <row r="1" spans="1:12" ht="33.950000000000003" customHeight="1" x14ac:dyDescent="0.25">
      <c r="A1" s="12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ht="30" customHeight="1" x14ac:dyDescent="0.25">
      <c r="A2" s="8" t="s">
        <v>79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4" spans="1:12" ht="32.1" customHeight="1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</row>
    <row r="5" spans="1:12" ht="81.95" customHeight="1" x14ac:dyDescent="0.25">
      <c r="A5" s="2" t="s">
        <v>13</v>
      </c>
      <c r="B5" s="2" t="s">
        <v>14</v>
      </c>
      <c r="C5" s="2" t="s">
        <v>15</v>
      </c>
      <c r="D5" s="2" t="s">
        <v>16</v>
      </c>
      <c r="E5" s="2">
        <v>4</v>
      </c>
      <c r="F5" s="2">
        <v>4</v>
      </c>
      <c r="G5" s="3">
        <f t="shared" ref="G5:G14" si="0">E5*F5</f>
        <v>16</v>
      </c>
      <c r="H5" s="4" t="str">
        <f t="shared" ref="H5:H14" si="1">IF(G5&gt;=15,"Crítico",IF(G5&gt;=10,"Alto",IF(G5&gt;=5,"Medio","Bajo")))</f>
        <v>Crítico</v>
      </c>
      <c r="I5" s="2" t="s">
        <v>17</v>
      </c>
      <c r="J5" s="2" t="s">
        <v>18</v>
      </c>
      <c r="K5" s="2" t="s">
        <v>19</v>
      </c>
      <c r="L5" s="2" t="s">
        <v>20</v>
      </c>
    </row>
    <row r="6" spans="1:12" ht="81.95" customHeight="1" x14ac:dyDescent="0.25">
      <c r="A6" s="5" t="s">
        <v>21</v>
      </c>
      <c r="B6" s="5" t="s">
        <v>22</v>
      </c>
      <c r="C6" s="5" t="s">
        <v>23</v>
      </c>
      <c r="D6" s="5" t="s">
        <v>24</v>
      </c>
      <c r="E6" s="5">
        <v>3</v>
      </c>
      <c r="F6" s="5">
        <v>5</v>
      </c>
      <c r="G6" s="6">
        <f t="shared" si="0"/>
        <v>15</v>
      </c>
      <c r="H6" s="7" t="str">
        <f t="shared" si="1"/>
        <v>Crítico</v>
      </c>
      <c r="I6" s="5" t="s">
        <v>25</v>
      </c>
      <c r="J6" s="5" t="s">
        <v>18</v>
      </c>
      <c r="K6" s="5" t="s">
        <v>26</v>
      </c>
      <c r="L6" s="5" t="s">
        <v>20</v>
      </c>
    </row>
    <row r="7" spans="1:12" ht="81.95" customHeight="1" x14ac:dyDescent="0.25">
      <c r="A7" s="2" t="s">
        <v>27</v>
      </c>
      <c r="B7" s="2" t="s">
        <v>28</v>
      </c>
      <c r="C7" s="2" t="s">
        <v>29</v>
      </c>
      <c r="D7" s="2" t="s">
        <v>30</v>
      </c>
      <c r="E7" s="2">
        <v>4</v>
      </c>
      <c r="F7" s="2">
        <v>5</v>
      </c>
      <c r="G7" s="3">
        <f t="shared" si="0"/>
        <v>20</v>
      </c>
      <c r="H7" s="4" t="str">
        <f t="shared" si="1"/>
        <v>Crítico</v>
      </c>
      <c r="I7" s="2" t="s">
        <v>31</v>
      </c>
      <c r="J7" s="2" t="s">
        <v>18</v>
      </c>
      <c r="K7" s="2" t="s">
        <v>32</v>
      </c>
      <c r="L7" s="2" t="s">
        <v>20</v>
      </c>
    </row>
    <row r="8" spans="1:12" ht="81.95" customHeight="1" x14ac:dyDescent="0.25">
      <c r="A8" s="5" t="s">
        <v>33</v>
      </c>
      <c r="B8" s="5" t="s">
        <v>34</v>
      </c>
      <c r="C8" s="5" t="s">
        <v>35</v>
      </c>
      <c r="D8" s="5" t="s">
        <v>36</v>
      </c>
      <c r="E8" s="5">
        <v>3</v>
      </c>
      <c r="F8" s="5">
        <v>4</v>
      </c>
      <c r="G8" s="6">
        <f t="shared" si="0"/>
        <v>12</v>
      </c>
      <c r="H8" s="7" t="str">
        <f t="shared" si="1"/>
        <v>Alto</v>
      </c>
      <c r="I8" s="5" t="s">
        <v>37</v>
      </c>
      <c r="J8" s="5" t="s">
        <v>18</v>
      </c>
      <c r="K8" s="5" t="s">
        <v>38</v>
      </c>
      <c r="L8" s="5" t="s">
        <v>20</v>
      </c>
    </row>
    <row r="9" spans="1:12" ht="81.95" customHeight="1" x14ac:dyDescent="0.25">
      <c r="A9" s="2" t="s">
        <v>39</v>
      </c>
      <c r="B9" s="2" t="s">
        <v>40</v>
      </c>
      <c r="C9" s="2" t="s">
        <v>41</v>
      </c>
      <c r="D9" s="2" t="s">
        <v>42</v>
      </c>
      <c r="E9" s="2">
        <v>3</v>
      </c>
      <c r="F9" s="2">
        <v>3</v>
      </c>
      <c r="G9" s="3">
        <f t="shared" si="0"/>
        <v>9</v>
      </c>
      <c r="H9" s="4" t="str">
        <f t="shared" si="1"/>
        <v>Medio</v>
      </c>
      <c r="I9" s="2" t="s">
        <v>43</v>
      </c>
      <c r="J9" s="2" t="s">
        <v>18</v>
      </c>
      <c r="K9" s="2" t="s">
        <v>44</v>
      </c>
      <c r="L9" s="2" t="s">
        <v>20</v>
      </c>
    </row>
    <row r="10" spans="1:12" ht="81.95" customHeight="1" x14ac:dyDescent="0.25">
      <c r="A10" s="5" t="s">
        <v>45</v>
      </c>
      <c r="B10" s="5" t="s">
        <v>46</v>
      </c>
      <c r="C10" s="5" t="s">
        <v>47</v>
      </c>
      <c r="D10" s="5" t="s">
        <v>48</v>
      </c>
      <c r="E10" s="5">
        <v>4</v>
      </c>
      <c r="F10" s="5">
        <v>4</v>
      </c>
      <c r="G10" s="6">
        <f t="shared" si="0"/>
        <v>16</v>
      </c>
      <c r="H10" s="7" t="str">
        <f t="shared" si="1"/>
        <v>Crítico</v>
      </c>
      <c r="I10" s="5" t="s">
        <v>49</v>
      </c>
      <c r="J10" s="5" t="s">
        <v>18</v>
      </c>
      <c r="K10" s="5" t="s">
        <v>50</v>
      </c>
      <c r="L10" s="5" t="s">
        <v>20</v>
      </c>
    </row>
    <row r="11" spans="1:12" ht="81.95" customHeight="1" x14ac:dyDescent="0.25">
      <c r="A11" s="2" t="s">
        <v>51</v>
      </c>
      <c r="B11" s="2" t="s">
        <v>52</v>
      </c>
      <c r="C11" s="2" t="s">
        <v>53</v>
      </c>
      <c r="D11" s="2" t="s">
        <v>54</v>
      </c>
      <c r="E11" s="2">
        <v>3</v>
      </c>
      <c r="F11" s="2">
        <v>4</v>
      </c>
      <c r="G11" s="3">
        <f t="shared" si="0"/>
        <v>12</v>
      </c>
      <c r="H11" s="4" t="str">
        <f t="shared" si="1"/>
        <v>Alto</v>
      </c>
      <c r="I11" s="2" t="s">
        <v>55</v>
      </c>
      <c r="J11" s="2" t="s">
        <v>18</v>
      </c>
      <c r="K11" s="2" t="s">
        <v>56</v>
      </c>
      <c r="L11" s="2" t="s">
        <v>20</v>
      </c>
    </row>
    <row r="12" spans="1:12" ht="81.95" customHeight="1" x14ac:dyDescent="0.25">
      <c r="A12" s="5" t="s">
        <v>57</v>
      </c>
      <c r="B12" s="5" t="s">
        <v>58</v>
      </c>
      <c r="C12" s="5" t="s">
        <v>59</v>
      </c>
      <c r="D12" s="5" t="s">
        <v>60</v>
      </c>
      <c r="E12" s="5">
        <v>3</v>
      </c>
      <c r="F12" s="5">
        <v>5</v>
      </c>
      <c r="G12" s="6">
        <f t="shared" si="0"/>
        <v>15</v>
      </c>
      <c r="H12" s="7" t="str">
        <f t="shared" si="1"/>
        <v>Crítico</v>
      </c>
      <c r="I12" s="5" t="s">
        <v>61</v>
      </c>
      <c r="J12" s="5" t="s">
        <v>18</v>
      </c>
      <c r="K12" s="5" t="s">
        <v>62</v>
      </c>
      <c r="L12" s="5" t="s">
        <v>20</v>
      </c>
    </row>
    <row r="13" spans="1:12" ht="81.95" customHeight="1" x14ac:dyDescent="0.25">
      <c r="A13" s="2" t="s">
        <v>63</v>
      </c>
      <c r="B13" s="2" t="s">
        <v>64</v>
      </c>
      <c r="C13" s="2" t="s">
        <v>65</v>
      </c>
      <c r="D13" s="2" t="s">
        <v>66</v>
      </c>
      <c r="E13" s="2">
        <v>3</v>
      </c>
      <c r="F13" s="2">
        <v>4</v>
      </c>
      <c r="G13" s="3">
        <f t="shared" si="0"/>
        <v>12</v>
      </c>
      <c r="H13" s="4" t="str">
        <f t="shared" si="1"/>
        <v>Alto</v>
      </c>
      <c r="I13" s="2" t="s">
        <v>67</v>
      </c>
      <c r="J13" s="2" t="s">
        <v>18</v>
      </c>
      <c r="K13" s="2" t="s">
        <v>68</v>
      </c>
      <c r="L13" s="2" t="s">
        <v>20</v>
      </c>
    </row>
    <row r="14" spans="1:12" ht="81.95" customHeight="1" x14ac:dyDescent="0.25">
      <c r="A14" s="5" t="s">
        <v>69</v>
      </c>
      <c r="B14" s="5" t="s">
        <v>70</v>
      </c>
      <c r="C14" s="5" t="s">
        <v>71</v>
      </c>
      <c r="D14" s="5" t="s">
        <v>72</v>
      </c>
      <c r="E14" s="5">
        <v>2</v>
      </c>
      <c r="F14" s="5">
        <v>3</v>
      </c>
      <c r="G14" s="6">
        <f t="shared" si="0"/>
        <v>6</v>
      </c>
      <c r="H14" s="7" t="str">
        <f t="shared" si="1"/>
        <v>Medio</v>
      </c>
      <c r="I14" s="5" t="s">
        <v>73</v>
      </c>
      <c r="J14" s="5" t="s">
        <v>74</v>
      </c>
      <c r="K14" s="5" t="s">
        <v>75</v>
      </c>
      <c r="L14" s="5" t="s">
        <v>20</v>
      </c>
    </row>
    <row r="17" spans="1:8" x14ac:dyDescent="0.25">
      <c r="A17" s="11" t="s">
        <v>76</v>
      </c>
      <c r="B17" s="9"/>
      <c r="C17" s="9"/>
      <c r="D17" s="9"/>
    </row>
    <row r="18" spans="1:8" x14ac:dyDescent="0.25">
      <c r="A18" s="10" t="s">
        <v>77</v>
      </c>
      <c r="B18" s="9"/>
      <c r="C18" s="9"/>
      <c r="D18" s="9"/>
    </row>
    <row r="19" spans="1:8" ht="30" customHeight="1" x14ac:dyDescent="0.25">
      <c r="A19" s="13" t="s">
        <v>78</v>
      </c>
      <c r="B19" s="9"/>
      <c r="C19" s="9"/>
      <c r="D19" s="9"/>
      <c r="E19" s="9"/>
      <c r="F19" s="9"/>
      <c r="G19" s="9"/>
      <c r="H19" s="9"/>
    </row>
  </sheetData>
  <autoFilter ref="A4:L14" xr:uid="{00000000-0009-0000-0000-000000000000}"/>
  <mergeCells count="5">
    <mergeCell ref="A2:L2"/>
    <mergeCell ref="A18:D18"/>
    <mergeCell ref="A17:D17"/>
    <mergeCell ref="A1:L1"/>
    <mergeCell ref="A19:H19"/>
  </mergeCells>
  <conditionalFormatting sqref="G5:G14">
    <cfRule type="cellIs" dxfId="3" priority="1" operator="greaterThanOrEqual">
      <formula>15</formula>
    </cfRule>
    <cfRule type="cellIs" dxfId="2" priority="2" operator="between">
      <formula>10</formula>
      <formula>14</formula>
    </cfRule>
    <cfRule type="cellIs" dxfId="1" priority="3" operator="between">
      <formula>5</formula>
      <formula>9</formula>
    </cfRule>
    <cfRule type="cellIs" dxfId="0" priority="4" operator="lessThanOrEqual">
      <formula>4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de riesgos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Lino</cp:lastModifiedBy>
  <dcterms:created xsi:type="dcterms:W3CDTF">2026-10-24T16:32:42Z</dcterms:created>
  <dcterms:modified xsi:type="dcterms:W3CDTF">2026-10-24T16:37:19Z</dcterms:modified>
</cp:coreProperties>
</file>